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J4" i="1"/>
  <c r="I4" i="1"/>
  <c r="H4" i="1"/>
  <c r="K5" i="1" l="1"/>
  <c r="K6" i="1"/>
  <c r="K7" i="1"/>
  <c r="K8" i="1"/>
  <c r="K9" i="1"/>
  <c r="K10" i="1"/>
  <c r="K11" i="1"/>
  <c r="K12" i="1"/>
  <c r="K13" i="1"/>
  <c r="J5" i="1"/>
  <c r="J6" i="1"/>
  <c r="J7" i="1"/>
  <c r="J8" i="1"/>
  <c r="J9" i="1"/>
  <c r="J10" i="1"/>
  <c r="J11" i="1"/>
  <c r="J12" i="1"/>
  <c r="J13" i="1"/>
  <c r="I5" i="1"/>
  <c r="I6" i="1"/>
  <c r="I7" i="1"/>
  <c r="I8" i="1"/>
  <c r="I9" i="1"/>
  <c r="I10" i="1"/>
  <c r="I11" i="1"/>
  <c r="I12" i="1"/>
  <c r="I13" i="1"/>
  <c r="H5" i="1"/>
  <c r="H6" i="1"/>
  <c r="H7" i="1"/>
  <c r="H8" i="1"/>
  <c r="H9" i="1"/>
  <c r="H10" i="1"/>
  <c r="H11" i="1"/>
  <c r="H12" i="1"/>
  <c r="H13" i="1"/>
</calcChain>
</file>

<file path=xl/sharedStrings.xml><?xml version="1.0" encoding="utf-8"?>
<sst xmlns="http://schemas.openxmlformats.org/spreadsheetml/2006/main" count="22" uniqueCount="22">
  <si>
    <t>Name</t>
  </si>
  <si>
    <t>Maths</t>
  </si>
  <si>
    <t>English</t>
  </si>
  <si>
    <t>CFA</t>
  </si>
  <si>
    <t>Society</t>
  </si>
  <si>
    <t>Digital logic</t>
  </si>
  <si>
    <t>Dikshya Giri</t>
  </si>
  <si>
    <t>Irrisha Kayastha</t>
  </si>
  <si>
    <t>Rajan Bhujel</t>
  </si>
  <si>
    <t>Kripa Gurung</t>
  </si>
  <si>
    <t>Rajan Khadka</t>
  </si>
  <si>
    <t>Rupesh Bhujel</t>
  </si>
  <si>
    <t>Bimal Dhungel</t>
  </si>
  <si>
    <t>Alisha Sapkota</t>
  </si>
  <si>
    <t>Aakash Giri</t>
  </si>
  <si>
    <t>Jeshika Dhakal</t>
  </si>
  <si>
    <t xml:space="preserve">Total </t>
  </si>
  <si>
    <t>Grade</t>
  </si>
  <si>
    <t>Percentage</t>
  </si>
  <si>
    <t>Result</t>
  </si>
  <si>
    <t>S.N</t>
  </si>
  <si>
    <t>BCA 1st SEMESTER PREBOARD RESULT LEDGER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</si>
</sst>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abSelected="1" zoomScale="115" workbookViewId="0">
      <selection activeCell="K4" sqref="A1:K4"/>
    </sheetView>
  </sheetViews>
  <sheetFormatPr defaultRowHeight="14.4" x14ac:dyDescent="0.3"/>
  <cols>
    <col min="2" max="2" width="14" bestFit="1" customWidth="1"/>
    <col min="4" max="4" width="10.109375" bestFit="1" customWidth="1"/>
    <col min="9" max="10" width="10.109375" bestFit="1" customWidth="1"/>
  </cols>
  <sheetData>
    <row r="1" spans="1:11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3">
      <c r="A3" s="1" t="s">
        <v>20</v>
      </c>
      <c r="B3" s="1" t="s">
        <v>0</v>
      </c>
      <c r="C3" s="1" t="s">
        <v>1</v>
      </c>
      <c r="D3" s="1" t="s">
        <v>5</v>
      </c>
      <c r="E3" s="1" t="s">
        <v>2</v>
      </c>
      <c r="F3" s="1" t="s">
        <v>4</v>
      </c>
      <c r="G3" s="1" t="s">
        <v>3</v>
      </c>
      <c r="H3" s="1" t="s">
        <v>16</v>
      </c>
      <c r="I3" s="1" t="s">
        <v>18</v>
      </c>
      <c r="J3" s="1" t="s">
        <v>17</v>
      </c>
      <c r="K3" s="1" t="s">
        <v>19</v>
      </c>
    </row>
    <row r="4" spans="1:11" x14ac:dyDescent="0.3">
      <c r="A4" s="2">
        <v>1</v>
      </c>
      <c r="B4" s="2" t="s">
        <v>6</v>
      </c>
      <c r="C4" s="2">
        <v>80</v>
      </c>
      <c r="D4" s="2">
        <v>77</v>
      </c>
      <c r="E4" s="2">
        <v>74</v>
      </c>
      <c r="F4" s="2">
        <v>92</v>
      </c>
      <c r="G4" s="2">
        <v>85</v>
      </c>
      <c r="H4" s="2">
        <f>SUM(C4:G4)</f>
        <v>408</v>
      </c>
      <c r="I4" s="2">
        <f>H4/5</f>
        <v>81.599999999999994</v>
      </c>
      <c r="J4" s="2" t="str">
        <f>IF(I4&gt;=90,"A+",IF(I4&gt;=80,"A",IF(I4&gt;=70,"B+",IF(I4&gt;=60,"B",IF(I4&gt;=50,"C+",IF(I4&gt;=40,"C",IF(I4&lt;=39,"NULL")))))))</f>
        <v>A</v>
      </c>
      <c r="K4" s="2" t="str">
        <f>IF(MIN(C4:G4)&gt;=24,"PASS","FAIL")</f>
        <v>PASS</v>
      </c>
    </row>
    <row r="5" spans="1:11" x14ac:dyDescent="0.3">
      <c r="A5" s="2">
        <v>2</v>
      </c>
      <c r="B5" s="2" t="s">
        <v>7</v>
      </c>
      <c r="C5" s="2">
        <v>97</v>
      </c>
      <c r="D5" s="2">
        <v>75</v>
      </c>
      <c r="E5" s="2">
        <v>84</v>
      </c>
      <c r="F5" s="2">
        <v>75</v>
      </c>
      <c r="G5" s="2">
        <v>65</v>
      </c>
      <c r="H5" s="2">
        <f t="shared" ref="H5:H13" si="0">SUM(C5:G5)</f>
        <v>396</v>
      </c>
      <c r="I5" s="2">
        <f t="shared" ref="I5:I13" si="1">H5/5</f>
        <v>79.2</v>
      </c>
      <c r="J5" s="2" t="str">
        <f t="shared" ref="J5:J13" si="2">IF(I5&gt;=90,"A+",IF(I5&gt;=80,"A",IF(I5&gt;=70,"B+",IF(I5&gt;=60,"B",IF(I5&gt;=50,"C+",IF(I5&gt;=40,"C",IF(I5&lt;=39,"NULL")))))))</f>
        <v>B+</v>
      </c>
      <c r="K5" s="2" t="str">
        <f t="shared" ref="K5:K13" si="3">IF(MIN(C5:G5)&gt;=24,"PASS","FAIL")</f>
        <v>PASS</v>
      </c>
    </row>
    <row r="6" spans="1:11" x14ac:dyDescent="0.3">
      <c r="A6" s="2">
        <v>3</v>
      </c>
      <c r="B6" s="2" t="s">
        <v>8</v>
      </c>
      <c r="C6" s="2">
        <v>45</v>
      </c>
      <c r="D6" s="2">
        <v>89</v>
      </c>
      <c r="E6" s="2">
        <v>54</v>
      </c>
      <c r="F6" s="2">
        <v>12</v>
      </c>
      <c r="G6" s="2">
        <v>98</v>
      </c>
      <c r="H6" s="2">
        <f t="shared" si="0"/>
        <v>298</v>
      </c>
      <c r="I6" s="2">
        <f t="shared" si="1"/>
        <v>59.6</v>
      </c>
      <c r="J6" s="2" t="str">
        <f t="shared" si="2"/>
        <v>C+</v>
      </c>
      <c r="K6" s="2" t="str">
        <f t="shared" si="3"/>
        <v>FAIL</v>
      </c>
    </row>
    <row r="7" spans="1:11" x14ac:dyDescent="0.3">
      <c r="A7" s="2">
        <v>4</v>
      </c>
      <c r="B7" s="2" t="s">
        <v>9</v>
      </c>
      <c r="C7" s="2">
        <v>45</v>
      </c>
      <c r="D7" s="2">
        <v>77</v>
      </c>
      <c r="E7" s="2">
        <v>65</v>
      </c>
      <c r="F7" s="2">
        <v>45</v>
      </c>
      <c r="G7" s="2">
        <v>78</v>
      </c>
      <c r="H7" s="2">
        <f t="shared" si="0"/>
        <v>310</v>
      </c>
      <c r="I7" s="2">
        <f t="shared" si="1"/>
        <v>62</v>
      </c>
      <c r="J7" s="2" t="str">
        <f t="shared" si="2"/>
        <v>B</v>
      </c>
      <c r="K7" s="2" t="str">
        <f t="shared" si="3"/>
        <v>PASS</v>
      </c>
    </row>
    <row r="8" spans="1:11" x14ac:dyDescent="0.3">
      <c r="A8" s="2">
        <v>5</v>
      </c>
      <c r="B8" s="2" t="s">
        <v>10</v>
      </c>
      <c r="C8" s="2">
        <v>92</v>
      </c>
      <c r="D8" s="2">
        <v>25</v>
      </c>
      <c r="E8" s="2">
        <v>11</v>
      </c>
      <c r="F8" s="2">
        <v>97</v>
      </c>
      <c r="G8" s="2">
        <v>45</v>
      </c>
      <c r="H8" s="2">
        <f t="shared" si="0"/>
        <v>270</v>
      </c>
      <c r="I8" s="2">
        <f t="shared" si="1"/>
        <v>54</v>
      </c>
      <c r="J8" s="2" t="str">
        <f t="shared" si="2"/>
        <v>C+</v>
      </c>
      <c r="K8" s="2" t="str">
        <f t="shared" si="3"/>
        <v>FAIL</v>
      </c>
    </row>
    <row r="9" spans="1:11" x14ac:dyDescent="0.3">
      <c r="A9" s="2">
        <v>6</v>
      </c>
      <c r="B9" s="2" t="s">
        <v>11</v>
      </c>
      <c r="C9" s="2">
        <v>77</v>
      </c>
      <c r="D9" s="2">
        <v>75</v>
      </c>
      <c r="E9" s="2">
        <v>54</v>
      </c>
      <c r="F9" s="2">
        <v>84</v>
      </c>
      <c r="G9" s="2">
        <v>63</v>
      </c>
      <c r="H9" s="2">
        <f t="shared" si="0"/>
        <v>353</v>
      </c>
      <c r="I9" s="2">
        <f t="shared" si="1"/>
        <v>70.599999999999994</v>
      </c>
      <c r="J9" s="2" t="str">
        <f t="shared" si="2"/>
        <v>B+</v>
      </c>
      <c r="K9" s="2" t="str">
        <f t="shared" si="3"/>
        <v>PASS</v>
      </c>
    </row>
    <row r="10" spans="1:11" x14ac:dyDescent="0.3">
      <c r="A10" s="2">
        <v>7</v>
      </c>
      <c r="B10" s="2" t="s">
        <v>12</v>
      </c>
      <c r="C10" s="2">
        <v>46</v>
      </c>
      <c r="D10" s="2">
        <v>97</v>
      </c>
      <c r="E10" s="2">
        <v>44</v>
      </c>
      <c r="F10" s="2">
        <v>76</v>
      </c>
      <c r="G10" s="2">
        <v>12</v>
      </c>
      <c r="H10" s="2">
        <f t="shared" si="0"/>
        <v>275</v>
      </c>
      <c r="I10" s="2">
        <f t="shared" si="1"/>
        <v>55</v>
      </c>
      <c r="J10" s="2" t="str">
        <f t="shared" si="2"/>
        <v>C+</v>
      </c>
      <c r="K10" s="2" t="str">
        <f t="shared" si="3"/>
        <v>FAIL</v>
      </c>
    </row>
    <row r="11" spans="1:11" x14ac:dyDescent="0.3">
      <c r="A11" s="2">
        <v>8</v>
      </c>
      <c r="B11" s="2" t="s">
        <v>13</v>
      </c>
      <c r="C11" s="2">
        <v>87</v>
      </c>
      <c r="D11" s="2">
        <v>44</v>
      </c>
      <c r="E11" s="2">
        <v>87</v>
      </c>
      <c r="F11" s="2">
        <v>56</v>
      </c>
      <c r="G11" s="2">
        <v>45</v>
      </c>
      <c r="H11" s="2">
        <f t="shared" si="0"/>
        <v>319</v>
      </c>
      <c r="I11" s="2">
        <f t="shared" si="1"/>
        <v>63.8</v>
      </c>
      <c r="J11" s="2" t="str">
        <f t="shared" si="2"/>
        <v>B</v>
      </c>
      <c r="K11" s="2" t="str">
        <f t="shared" si="3"/>
        <v>PASS</v>
      </c>
    </row>
    <row r="12" spans="1:11" x14ac:dyDescent="0.3">
      <c r="A12" s="2">
        <v>9</v>
      </c>
      <c r="B12" s="2" t="s">
        <v>14</v>
      </c>
      <c r="C12" s="2">
        <v>44</v>
      </c>
      <c r="D12" s="2">
        <v>61</v>
      </c>
      <c r="E12" s="2">
        <v>44</v>
      </c>
      <c r="F12" s="2">
        <v>48</v>
      </c>
      <c r="G12" s="2">
        <v>75</v>
      </c>
      <c r="H12" s="2">
        <f t="shared" si="0"/>
        <v>272</v>
      </c>
      <c r="I12" s="2">
        <f t="shared" si="1"/>
        <v>54.4</v>
      </c>
      <c r="J12" s="2" t="str">
        <f t="shared" si="2"/>
        <v>C+</v>
      </c>
      <c r="K12" s="2" t="str">
        <f t="shared" si="3"/>
        <v>PASS</v>
      </c>
    </row>
    <row r="13" spans="1:11" x14ac:dyDescent="0.3">
      <c r="A13" s="2">
        <v>10</v>
      </c>
      <c r="B13" s="2" t="s">
        <v>15</v>
      </c>
      <c r="C13" s="2">
        <v>92</v>
      </c>
      <c r="D13" s="2">
        <v>22</v>
      </c>
      <c r="E13" s="2">
        <v>12</v>
      </c>
      <c r="F13" s="2">
        <v>49</v>
      </c>
      <c r="G13" s="2">
        <v>95</v>
      </c>
      <c r="H13" s="2">
        <f t="shared" si="0"/>
        <v>270</v>
      </c>
      <c r="I13" s="2">
        <f t="shared" si="1"/>
        <v>54</v>
      </c>
      <c r="J13" s="2" t="str">
        <f t="shared" si="2"/>
        <v>C+</v>
      </c>
      <c r="K13" s="2" t="str">
        <f t="shared" si="3"/>
        <v>FAIL</v>
      </c>
    </row>
  </sheetData>
  <mergeCells count="1">
    <mergeCell ref="A1:K2"/>
  </mergeCells>
  <conditionalFormatting sqref="A1:K2">
    <cfRule type="cellIs" dxfId="2" priority="3" operator="lessThan">
      <formula>32</formula>
    </cfRule>
    <cfRule type="cellIs" dxfId="1" priority="2" operator="lessThan">
      <formula>32</formula>
    </cfRule>
  </conditionalFormatting>
  <conditionalFormatting sqref="B4:G13">
    <cfRule type="cellIs" dxfId="0" priority="1" operator="lessThan">
      <formula>24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2023-05-06T11:10:37Z</dcterms:created>
  <dcterms:modified xsi:type="dcterms:W3CDTF">2023-05-06T12:02:58Z</dcterms:modified>
</cp:coreProperties>
</file>