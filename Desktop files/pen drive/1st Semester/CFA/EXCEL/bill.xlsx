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5" i="1"/>
  <c r="F15" i="1" l="1"/>
  <c r="F17" i="1" s="1"/>
  <c r="F16" i="1" l="1"/>
  <c r="F18" i="1" s="1"/>
</calcChain>
</file>

<file path=xl/sharedStrings.xml><?xml version="1.0" encoding="utf-8"?>
<sst xmlns="http://schemas.openxmlformats.org/spreadsheetml/2006/main" count="21" uniqueCount="21">
  <si>
    <t>S.N</t>
  </si>
  <si>
    <t>Quantity</t>
  </si>
  <si>
    <t>Rate</t>
  </si>
  <si>
    <t>Total amount</t>
  </si>
  <si>
    <t>Grand Total</t>
  </si>
  <si>
    <t>Net Total</t>
  </si>
  <si>
    <t>Discount amount(5%)</t>
  </si>
  <si>
    <t>Tax amount(13%)</t>
  </si>
  <si>
    <t>SHRESTHA STORE</t>
  </si>
  <si>
    <t>Items</t>
  </si>
  <si>
    <t>Sweater</t>
  </si>
  <si>
    <t>Hoodie</t>
  </si>
  <si>
    <t>Trouser</t>
  </si>
  <si>
    <t>T-shirt</t>
  </si>
  <si>
    <t>Jacket</t>
  </si>
  <si>
    <t>Coat</t>
  </si>
  <si>
    <t>Saree</t>
  </si>
  <si>
    <t>Kurtha</t>
  </si>
  <si>
    <t>Socks</t>
  </si>
  <si>
    <t>Pant</t>
  </si>
  <si>
    <t>Name: ………………………………………………………………………………
Phone: ……………………………………………………………………………..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</si>
</sst>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1" applyNumberFormat="1" applyFont="1"/>
    <xf numFmtId="0" fontId="0" fillId="2" borderId="1" xfId="0" applyFill="1" applyBorder="1"/>
    <xf numFmtId="0" fontId="0" fillId="2" borderId="1" xfId="1" applyNumberFormat="1" applyFont="1" applyFill="1" applyBorder="1"/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tabSelected="1" zoomScaleNormal="100" workbookViewId="0">
      <selection activeCell="B1" sqref="B1:F2"/>
    </sheetView>
  </sheetViews>
  <sheetFormatPr defaultRowHeight="14.4" x14ac:dyDescent="0.3"/>
  <cols>
    <col min="3" max="3" width="18.21875" customWidth="1"/>
    <col min="6" max="6" width="12.21875" customWidth="1"/>
  </cols>
  <sheetData>
    <row r="1" spans="2:14" ht="14.4" customHeight="1" x14ac:dyDescent="0.3">
      <c r="B1" s="6" t="s">
        <v>8</v>
      </c>
      <c r="C1" s="7"/>
      <c r="D1" s="7"/>
      <c r="E1" s="7"/>
      <c r="F1" s="7"/>
    </row>
    <row r="2" spans="2:14" x14ac:dyDescent="0.3">
      <c r="B2" s="7"/>
      <c r="C2" s="7"/>
      <c r="D2" s="7"/>
      <c r="E2" s="7"/>
      <c r="F2" s="7"/>
    </row>
    <row r="3" spans="2:14" ht="30.6" customHeight="1" x14ac:dyDescent="0.3">
      <c r="B3" s="8" t="s">
        <v>20</v>
      </c>
      <c r="C3" s="9"/>
      <c r="D3" s="9"/>
      <c r="E3" s="9"/>
      <c r="F3" s="10"/>
    </row>
    <row r="4" spans="2:14" x14ac:dyDescent="0.3">
      <c r="B4" s="2" t="s">
        <v>0</v>
      </c>
      <c r="C4" s="2" t="s">
        <v>9</v>
      </c>
      <c r="D4" s="2" t="s">
        <v>1</v>
      </c>
      <c r="E4" s="2" t="s">
        <v>2</v>
      </c>
      <c r="F4" s="2" t="s">
        <v>3</v>
      </c>
      <c r="I4" s="11"/>
      <c r="J4" s="11"/>
      <c r="K4" s="11"/>
      <c r="L4" s="11"/>
      <c r="M4" s="11"/>
      <c r="N4" s="11"/>
    </row>
    <row r="5" spans="2:14" ht="14.4" customHeight="1" x14ac:dyDescent="0.3">
      <c r="B5" s="2">
        <v>1</v>
      </c>
      <c r="C5" s="2" t="s">
        <v>10</v>
      </c>
      <c r="D5" s="2">
        <v>5</v>
      </c>
      <c r="E5" s="2">
        <v>850</v>
      </c>
      <c r="F5" s="2">
        <f>D5*E5</f>
        <v>4250</v>
      </c>
    </row>
    <row r="6" spans="2:14" x14ac:dyDescent="0.3">
      <c r="B6" s="2">
        <v>2</v>
      </c>
      <c r="C6" s="2" t="s">
        <v>11</v>
      </c>
      <c r="D6" s="2">
        <v>12</v>
      </c>
      <c r="E6" s="2">
        <v>1000</v>
      </c>
      <c r="F6" s="2">
        <f t="shared" ref="F6:F14" si="0">D6*E6</f>
        <v>12000</v>
      </c>
    </row>
    <row r="7" spans="2:14" x14ac:dyDescent="0.3">
      <c r="B7" s="2">
        <v>3</v>
      </c>
      <c r="C7" s="2" t="s">
        <v>12</v>
      </c>
      <c r="D7" s="2">
        <v>25</v>
      </c>
      <c r="E7" s="2">
        <v>1250</v>
      </c>
      <c r="F7" s="2">
        <f t="shared" si="0"/>
        <v>31250</v>
      </c>
    </row>
    <row r="8" spans="2:14" x14ac:dyDescent="0.3">
      <c r="B8" s="2">
        <v>4</v>
      </c>
      <c r="C8" s="2" t="s">
        <v>13</v>
      </c>
      <c r="D8" s="2">
        <v>13</v>
      </c>
      <c r="E8" s="2">
        <v>500</v>
      </c>
      <c r="F8" s="2">
        <f t="shared" si="0"/>
        <v>6500</v>
      </c>
    </row>
    <row r="9" spans="2:14" x14ac:dyDescent="0.3">
      <c r="B9" s="2">
        <v>5</v>
      </c>
      <c r="C9" s="2" t="s">
        <v>14</v>
      </c>
      <c r="D9" s="2">
        <v>21</v>
      </c>
      <c r="E9" s="2">
        <v>1220</v>
      </c>
      <c r="F9" s="2">
        <f t="shared" si="0"/>
        <v>25620</v>
      </c>
    </row>
    <row r="10" spans="2:14" x14ac:dyDescent="0.3">
      <c r="B10" s="2">
        <v>6</v>
      </c>
      <c r="C10" s="2" t="s">
        <v>15</v>
      </c>
      <c r="D10" s="2">
        <v>12</v>
      </c>
      <c r="E10" s="2">
        <v>2520</v>
      </c>
      <c r="F10" s="2">
        <f t="shared" si="0"/>
        <v>30240</v>
      </c>
    </row>
    <row r="11" spans="2:14" x14ac:dyDescent="0.3">
      <c r="B11" s="2">
        <v>7</v>
      </c>
      <c r="C11" s="2" t="s">
        <v>16</v>
      </c>
      <c r="D11" s="2">
        <v>21</v>
      </c>
      <c r="E11" s="2">
        <v>2815</v>
      </c>
      <c r="F11" s="2">
        <f t="shared" si="0"/>
        <v>59115</v>
      </c>
    </row>
    <row r="12" spans="2:14" x14ac:dyDescent="0.3">
      <c r="B12" s="2">
        <v>8</v>
      </c>
      <c r="C12" s="2" t="s">
        <v>17</v>
      </c>
      <c r="D12" s="2">
        <v>11</v>
      </c>
      <c r="E12" s="2">
        <v>1740</v>
      </c>
      <c r="F12" s="2">
        <f t="shared" si="0"/>
        <v>19140</v>
      </c>
    </row>
    <row r="13" spans="2:14" x14ac:dyDescent="0.3">
      <c r="B13" s="2">
        <v>9</v>
      </c>
      <c r="C13" s="2" t="s">
        <v>18</v>
      </c>
      <c r="D13" s="2">
        <v>10</v>
      </c>
      <c r="E13" s="2">
        <v>100</v>
      </c>
      <c r="F13" s="2">
        <f t="shared" si="0"/>
        <v>1000</v>
      </c>
    </row>
    <row r="14" spans="2:14" x14ac:dyDescent="0.3">
      <c r="B14" s="2">
        <v>10</v>
      </c>
      <c r="C14" s="2" t="s">
        <v>19</v>
      </c>
      <c r="D14" s="2">
        <v>35</v>
      </c>
      <c r="E14" s="2">
        <v>1750</v>
      </c>
      <c r="F14" s="2">
        <f t="shared" si="0"/>
        <v>61250</v>
      </c>
    </row>
    <row r="15" spans="2:14" x14ac:dyDescent="0.3">
      <c r="B15" s="4" t="s">
        <v>5</v>
      </c>
      <c r="C15" s="4"/>
      <c r="D15" s="4"/>
      <c r="E15" s="4"/>
      <c r="F15" s="3">
        <f>SUM(F5:F14)</f>
        <v>250365</v>
      </c>
    </row>
    <row r="16" spans="2:14" x14ac:dyDescent="0.3">
      <c r="B16" s="5" t="s">
        <v>6</v>
      </c>
      <c r="C16" s="5"/>
      <c r="D16" s="5"/>
      <c r="E16" s="5"/>
      <c r="F16" s="3">
        <f>5%*F15</f>
        <v>12518.25</v>
      </c>
      <c r="G16" s="1"/>
    </row>
    <row r="17" spans="2:6" x14ac:dyDescent="0.3">
      <c r="B17" s="5" t="s">
        <v>7</v>
      </c>
      <c r="C17" s="5"/>
      <c r="D17" s="5"/>
      <c r="E17" s="5"/>
      <c r="F17" s="2">
        <f>13%*F15</f>
        <v>32547.45</v>
      </c>
    </row>
    <row r="18" spans="2:6" x14ac:dyDescent="0.3">
      <c r="B18" s="5" t="s">
        <v>4</v>
      </c>
      <c r="C18" s="5"/>
      <c r="D18" s="5"/>
      <c r="E18" s="5"/>
      <c r="F18" s="2">
        <f>F15-F16+F17</f>
        <v>270394.2</v>
      </c>
    </row>
  </sheetData>
  <mergeCells count="6">
    <mergeCell ref="B1:F2"/>
    <mergeCell ref="B3:F3"/>
    <mergeCell ref="B15:E15"/>
    <mergeCell ref="B16:E16"/>
    <mergeCell ref="B17:E17"/>
    <mergeCell ref="B18:E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2023-05-04T13:16:24Z</cp:lastPrinted>
  <dcterms:created xsi:type="dcterms:W3CDTF">2023-05-03T12:55:05Z</dcterms:created>
  <dcterms:modified xsi:type="dcterms:W3CDTF">2023-05-06T10:06:10Z</dcterms:modified>
</cp:coreProperties>
</file>