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FA\EXCEL\"/>
    </mc:Choice>
  </mc:AlternateContent>
  <bookViews>
    <workbookView xWindow="0" yWindow="0" windowWidth="17256" windowHeight="5772"/>
  </bookViews>
  <sheets>
    <sheet name="Chart" sheetId="3" r:id="rId1"/>
    <sheet name="Graph" sheetId="4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H7" i="1"/>
  <c r="K7" i="1" s="1"/>
  <c r="J8" i="1" l="1"/>
  <c r="J9" i="1"/>
  <c r="J10" i="1"/>
  <c r="J11" i="1"/>
  <c r="J12" i="1"/>
  <c r="J13" i="1"/>
  <c r="I8" i="1"/>
  <c r="I9" i="1"/>
  <c r="I10" i="1"/>
  <c r="I11" i="1"/>
  <c r="I12" i="1"/>
  <c r="I13" i="1"/>
  <c r="H8" i="1"/>
  <c r="H9" i="1"/>
  <c r="H10" i="1"/>
  <c r="K10" i="1" s="1"/>
  <c r="H11" i="1"/>
  <c r="H12" i="1"/>
  <c r="H13" i="1"/>
  <c r="K9" i="1" l="1"/>
  <c r="K12" i="1"/>
  <c r="K13" i="1"/>
  <c r="K8" i="1"/>
  <c r="K11" i="1"/>
</calcChain>
</file>

<file path=xl/sharedStrings.xml><?xml version="1.0" encoding="utf-8"?>
<sst xmlns="http://schemas.openxmlformats.org/spreadsheetml/2006/main" count="23" uniqueCount="23">
  <si>
    <t>Employee Name</t>
  </si>
  <si>
    <t>Dikshya Giri</t>
  </si>
  <si>
    <t>Irrisha Kayastha</t>
  </si>
  <si>
    <t>Rajan Bhujel</t>
  </si>
  <si>
    <t>Kripa Gurung</t>
  </si>
  <si>
    <t>Rajan Khadka</t>
  </si>
  <si>
    <t>Rupesh Bhujel</t>
  </si>
  <si>
    <t>Bimal Dhungel</t>
  </si>
  <si>
    <t>Basic Salary</t>
  </si>
  <si>
    <t>ID</t>
  </si>
  <si>
    <t>Payments</t>
  </si>
  <si>
    <t>Allowance</t>
  </si>
  <si>
    <t xml:space="preserve">Medical </t>
  </si>
  <si>
    <t>House Rent</t>
  </si>
  <si>
    <t>Transportation</t>
  </si>
  <si>
    <t>Gross Total</t>
  </si>
  <si>
    <t>Deductions</t>
  </si>
  <si>
    <t>PF</t>
  </si>
  <si>
    <t>Net Payable</t>
  </si>
  <si>
    <t>Income Tax</t>
  </si>
  <si>
    <t>SALARY SHEET</t>
  </si>
  <si>
    <t>S.N</t>
  </si>
  <si>
    <t>For the month of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</si>
</sst>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Salary statement for the month of May 2023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0D-4020-A9C4-BF5787B549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0D-4020-A9C4-BF5787B549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0D-4020-A9C4-BF5787B549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0D-4020-A9C4-BF5787B549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0D-4020-A9C4-BF5787B549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0D-4020-A9C4-BF5787B549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0D-4020-A9C4-BF5787B549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Sheet1!$B$7:$B$13</c:f>
              <c:strCache>
                <c:ptCount val="7"/>
                <c:pt idx="0">
                  <c:v>Dikshya Giri</c:v>
                </c:pt>
                <c:pt idx="1">
                  <c:v>Irrisha Kayastha</c:v>
                </c:pt>
                <c:pt idx="2">
                  <c:v>Rajan Bhujel</c:v>
                </c:pt>
                <c:pt idx="3">
                  <c:v>Kripa Gurung</c:v>
                </c:pt>
                <c:pt idx="4">
                  <c:v>Rajan Khadka</c:v>
                </c:pt>
                <c:pt idx="5">
                  <c:v>Rupesh Bhujel</c:v>
                </c:pt>
                <c:pt idx="6">
                  <c:v>Bimal Dhungel</c:v>
                </c:pt>
              </c:strCache>
            </c:strRef>
          </c:cat>
          <c:val>
            <c:numRef>
              <c:f>Sheet1!$K$7:$K$13</c:f>
              <c:numCache>
                <c:formatCode>General</c:formatCode>
                <c:ptCount val="7"/>
                <c:pt idx="0">
                  <c:v>67000</c:v>
                </c:pt>
                <c:pt idx="1">
                  <c:v>69000</c:v>
                </c:pt>
                <c:pt idx="2">
                  <c:v>57500</c:v>
                </c:pt>
                <c:pt idx="3">
                  <c:v>48500</c:v>
                </c:pt>
                <c:pt idx="4">
                  <c:v>59400</c:v>
                </c:pt>
                <c:pt idx="5">
                  <c:v>57400</c:v>
                </c:pt>
                <c:pt idx="6">
                  <c:v>51100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0D-4020-A9C4-BF5787B54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statement for the month of May 2023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Sheet1!$H$4:$H$5</c:f>
              <c:strCache>
                <c:ptCount val="2"/>
                <c:pt idx="0">
                  <c:v>Payments</c:v>
                </c:pt>
                <c:pt idx="1">
                  <c:v>Gross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Sheet1!$A$6:$D$13</c15:sqref>
                  </c15:fullRef>
                  <c15:levelRef>
                    <c15:sqref>Sheet1!$B$6:$B$13</c15:sqref>
                  </c15:levelRef>
                </c:ext>
              </c:extLst>
              <c:f>Sheet1!$B$6:$B$13</c:f>
              <c:strCache>
                <c:ptCount val="8"/>
                <c:pt idx="0">
                  <c:v>Employee Name</c:v>
                </c:pt>
                <c:pt idx="1">
                  <c:v>Dikshya Giri</c:v>
                </c:pt>
                <c:pt idx="2">
                  <c:v>Irrisha Kayastha</c:v>
                </c:pt>
                <c:pt idx="3">
                  <c:v>Rajan Bhujel</c:v>
                </c:pt>
                <c:pt idx="4">
                  <c:v>Kripa Gurung</c:v>
                </c:pt>
                <c:pt idx="5">
                  <c:v>Rajan Khadka</c:v>
                </c:pt>
                <c:pt idx="6">
                  <c:v>Rupesh Bhujel</c:v>
                </c:pt>
                <c:pt idx="7">
                  <c:v>Bimal Dhungel</c:v>
                </c:pt>
              </c:strCache>
            </c:strRef>
          </c:cat>
          <c:val>
            <c:numRef>
              <c:f>Sheet1!$H$6:$H$13</c:f>
              <c:numCache>
                <c:formatCode>General</c:formatCode>
                <c:ptCount val="8"/>
                <c:pt idx="1">
                  <c:v>82000</c:v>
                </c:pt>
                <c:pt idx="2">
                  <c:v>84000</c:v>
                </c:pt>
                <c:pt idx="3">
                  <c:v>71000</c:v>
                </c:pt>
                <c:pt idx="4">
                  <c:v>60500</c:v>
                </c:pt>
                <c:pt idx="5">
                  <c:v>73800</c:v>
                </c:pt>
                <c:pt idx="6">
                  <c:v>70000</c:v>
                </c:pt>
                <c:pt idx="7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D3-4477-A6AE-6732282AD827}"/>
            </c:ext>
          </c:extLst>
        </c:ser>
        <c:ser>
          <c:idx val="6"/>
          <c:order val="6"/>
          <c:tx>
            <c:strRef>
              <c:f>Sheet1!$K$4:$K$5</c:f>
              <c:strCache>
                <c:ptCount val="2"/>
                <c:pt idx="0">
                  <c:v>Net Payable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Sheet1!$A$6:$D$13</c15:sqref>
                  </c15:fullRef>
                  <c15:levelRef>
                    <c15:sqref>Sheet1!$B$6:$B$13</c15:sqref>
                  </c15:levelRef>
                </c:ext>
              </c:extLst>
              <c:f>Sheet1!$B$6:$B$13</c:f>
              <c:strCache>
                <c:ptCount val="8"/>
                <c:pt idx="0">
                  <c:v>Employee Name</c:v>
                </c:pt>
                <c:pt idx="1">
                  <c:v>Dikshya Giri</c:v>
                </c:pt>
                <c:pt idx="2">
                  <c:v>Irrisha Kayastha</c:v>
                </c:pt>
                <c:pt idx="3">
                  <c:v>Rajan Bhujel</c:v>
                </c:pt>
                <c:pt idx="4">
                  <c:v>Kripa Gurung</c:v>
                </c:pt>
                <c:pt idx="5">
                  <c:v>Rajan Khadka</c:v>
                </c:pt>
                <c:pt idx="6">
                  <c:v>Rupesh Bhujel</c:v>
                </c:pt>
                <c:pt idx="7">
                  <c:v>Bimal Dhungel</c:v>
                </c:pt>
              </c:strCache>
            </c:strRef>
          </c:cat>
          <c:val>
            <c:numRef>
              <c:f>Sheet1!$K$6:$K$13</c:f>
              <c:numCache>
                <c:formatCode>General</c:formatCode>
                <c:ptCount val="8"/>
                <c:pt idx="1">
                  <c:v>67000</c:v>
                </c:pt>
                <c:pt idx="2">
                  <c:v>69000</c:v>
                </c:pt>
                <c:pt idx="3">
                  <c:v>57500</c:v>
                </c:pt>
                <c:pt idx="4">
                  <c:v>48500</c:v>
                </c:pt>
                <c:pt idx="5">
                  <c:v>59400</c:v>
                </c:pt>
                <c:pt idx="6">
                  <c:v>57400</c:v>
                </c:pt>
                <c:pt idx="7">
                  <c:v>51100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D3-4477-A6AE-6732282AD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348367448"/>
        <c:axId val="348365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Sheet1!$E$4:$E$5</c15:sqref>
                        </c15:formulaRef>
                      </c:ext>
                    </c:extLst>
                    <c:strCache>
                      <c:ptCount val="2"/>
                      <c:pt idx="0">
                        <c:v>Payments</c:v>
                      </c:pt>
                      <c:pt idx="1">
                        <c:v>Allowance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Sheet1!$A$6:$D$13</c15:sqref>
                        </c15:fullRef>
                        <c15:levelRef>
                          <c15:sqref>Sheet1!$B$6:$B$13</c15:sqref>
                        </c15:levelRef>
                        <c15:formulaRef>
                          <c15:sqref>Sheet1!$B$6:$B$13</c15:sqref>
                        </c15:formulaRef>
                      </c:ext>
                    </c:extLst>
                    <c:strCache>
                      <c:ptCount val="8"/>
                      <c:pt idx="0">
                        <c:v>Employee Name</c:v>
                      </c:pt>
                      <c:pt idx="1">
                        <c:v>Dikshya Giri</c:v>
                      </c:pt>
                      <c:pt idx="2">
                        <c:v>Irrisha Kayastha</c:v>
                      </c:pt>
                      <c:pt idx="3">
                        <c:v>Rajan Bhujel</c:v>
                      </c:pt>
                      <c:pt idx="4">
                        <c:v>Kripa Gurung</c:v>
                      </c:pt>
                      <c:pt idx="5">
                        <c:v>Rajan Khadka</c:v>
                      </c:pt>
                      <c:pt idx="6">
                        <c:v>Rupesh Bhujel</c:v>
                      </c:pt>
                      <c:pt idx="7">
                        <c:v>Bimal Dhungel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Sheet1!$E$6:$E$13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10000</c:v>
                      </c:pt>
                      <c:pt idx="2">
                        <c:v>10000</c:v>
                      </c:pt>
                      <c:pt idx="3">
                        <c:v>9000</c:v>
                      </c:pt>
                      <c:pt idx="4">
                        <c:v>8800</c:v>
                      </c:pt>
                      <c:pt idx="5">
                        <c:v>9000</c:v>
                      </c:pt>
                      <c:pt idx="6">
                        <c:v>8000</c:v>
                      </c:pt>
                      <c:pt idx="7">
                        <c:v>7500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3D3-4477-A6AE-6732282AD82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Sheet1!$F$4:$F$5</c15:sqref>
                        </c15:formulaRef>
                      </c:ext>
                    </c:extLst>
                    <c:strCache>
                      <c:ptCount val="2"/>
                      <c:pt idx="0">
                        <c:v>Payments</c:v>
                      </c:pt>
                      <c:pt idx="1">
                        <c:v>Allowance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Sheet1!$A$6:$D$13</c15:sqref>
                        </c15:fullRef>
                        <c15:levelRef>
                          <c15:sqref>Sheet1!$B$6:$B$13</c15:sqref>
                        </c15:levelRef>
                        <c15:formulaRef>
                          <c15:sqref>Sheet1!$B$6:$B$13</c15:sqref>
                        </c15:formulaRef>
                      </c:ext>
                    </c:extLst>
                    <c:strCache>
                      <c:ptCount val="8"/>
                      <c:pt idx="0">
                        <c:v>Employee Name</c:v>
                      </c:pt>
                      <c:pt idx="1">
                        <c:v>Dikshya Giri</c:v>
                      </c:pt>
                      <c:pt idx="2">
                        <c:v>Irrisha Kayastha</c:v>
                      </c:pt>
                      <c:pt idx="3">
                        <c:v>Rajan Bhujel</c:v>
                      </c:pt>
                      <c:pt idx="4">
                        <c:v>Kripa Gurung</c:v>
                      </c:pt>
                      <c:pt idx="5">
                        <c:v>Rajan Khadka</c:v>
                      </c:pt>
                      <c:pt idx="6">
                        <c:v>Rupesh Bhujel</c:v>
                      </c:pt>
                      <c:pt idx="7">
                        <c:v>Bimal Dhungel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Sheet1!$F$6:$F$13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14000</c:v>
                      </c:pt>
                      <c:pt idx="2">
                        <c:v>12000</c:v>
                      </c:pt>
                      <c:pt idx="3">
                        <c:v>8000</c:v>
                      </c:pt>
                      <c:pt idx="4">
                        <c:v>6900</c:v>
                      </c:pt>
                      <c:pt idx="5">
                        <c:v>7800</c:v>
                      </c:pt>
                      <c:pt idx="6">
                        <c:v>8000</c:v>
                      </c:pt>
                      <c:pt idx="7">
                        <c:v>7000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3D3-4477-A6AE-6732282AD82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Sheet1!$G$4:$G$5</c15:sqref>
                        </c15:formulaRef>
                      </c:ext>
                    </c:extLst>
                    <c:strCache>
                      <c:ptCount val="2"/>
                      <c:pt idx="0">
                        <c:v>Payments</c:v>
                      </c:pt>
                      <c:pt idx="1">
                        <c:v>Allowance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Sheet1!$A$6:$D$13</c15:sqref>
                        </c15:fullRef>
                        <c15:levelRef>
                          <c15:sqref>Sheet1!$B$6:$B$13</c15:sqref>
                        </c15:levelRef>
                        <c15:formulaRef>
                          <c15:sqref>Sheet1!$B$6:$B$13</c15:sqref>
                        </c15:formulaRef>
                      </c:ext>
                    </c:extLst>
                    <c:strCache>
                      <c:ptCount val="8"/>
                      <c:pt idx="0">
                        <c:v>Employee Name</c:v>
                      </c:pt>
                      <c:pt idx="1">
                        <c:v>Dikshya Giri</c:v>
                      </c:pt>
                      <c:pt idx="2">
                        <c:v>Irrisha Kayastha</c:v>
                      </c:pt>
                      <c:pt idx="3">
                        <c:v>Rajan Bhujel</c:v>
                      </c:pt>
                      <c:pt idx="4">
                        <c:v>Kripa Gurung</c:v>
                      </c:pt>
                      <c:pt idx="5">
                        <c:v>Rajan Khadka</c:v>
                      </c:pt>
                      <c:pt idx="6">
                        <c:v>Rupesh Bhujel</c:v>
                      </c:pt>
                      <c:pt idx="7">
                        <c:v>Bimal Dhungel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Sheet1!$G$6:$G$13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8000</c:v>
                      </c:pt>
                      <c:pt idx="2">
                        <c:v>12000</c:v>
                      </c:pt>
                      <c:pt idx="3">
                        <c:v>9000</c:v>
                      </c:pt>
                      <c:pt idx="4">
                        <c:v>4800</c:v>
                      </c:pt>
                      <c:pt idx="5">
                        <c:v>9000</c:v>
                      </c:pt>
                      <c:pt idx="6">
                        <c:v>12000</c:v>
                      </c:pt>
                      <c:pt idx="7">
                        <c:v>10000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3D3-4477-A6AE-6732282AD82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Sheet1!$I$4:$I$5</c15:sqref>
                        </c15:formulaRef>
                      </c:ext>
                    </c:extLst>
                    <c:strCache>
                      <c:ptCount val="2"/>
                      <c:pt idx="0">
                        <c:v>Deductions</c:v>
                      </c:pt>
                      <c:pt idx="1">
                        <c:v>PF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Sheet1!$A$6:$D$13</c15:sqref>
                        </c15:fullRef>
                        <c15:levelRef>
                          <c15:sqref>Sheet1!$B$6:$B$13</c15:sqref>
                        </c15:levelRef>
                        <c15:formulaRef>
                          <c15:sqref>Sheet1!$B$6:$B$13</c15:sqref>
                        </c15:formulaRef>
                      </c:ext>
                    </c:extLst>
                    <c:strCache>
                      <c:ptCount val="8"/>
                      <c:pt idx="0">
                        <c:v>Employee Name</c:v>
                      </c:pt>
                      <c:pt idx="1">
                        <c:v>Dikshya Giri</c:v>
                      </c:pt>
                      <c:pt idx="2">
                        <c:v>Irrisha Kayastha</c:v>
                      </c:pt>
                      <c:pt idx="3">
                        <c:v>Rajan Bhujel</c:v>
                      </c:pt>
                      <c:pt idx="4">
                        <c:v>Kripa Gurung</c:v>
                      </c:pt>
                      <c:pt idx="5">
                        <c:v>Rajan Khadka</c:v>
                      </c:pt>
                      <c:pt idx="6">
                        <c:v>Rupesh Bhujel</c:v>
                      </c:pt>
                      <c:pt idx="7">
                        <c:v>Bimal Dhungel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Sheet1!$I$6:$I$13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1">
                        <c:v>10000</c:v>
                      </c:pt>
                      <c:pt idx="2">
                        <c:v>10000</c:v>
                      </c:pt>
                      <c:pt idx="3">
                        <c:v>9000</c:v>
                      </c:pt>
                      <c:pt idx="4">
                        <c:v>8000</c:v>
                      </c:pt>
                      <c:pt idx="5">
                        <c:v>9600</c:v>
                      </c:pt>
                      <c:pt idx="6">
                        <c:v>8400</c:v>
                      </c:pt>
                      <c:pt idx="7">
                        <c:v>7600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3D3-4477-A6AE-6732282AD82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Sheet1!$J$4:$J$5</c15:sqref>
                        </c15:formulaRef>
                      </c:ext>
                    </c:extLst>
                    <c:strCache>
                      <c:ptCount val="2"/>
                      <c:pt idx="0">
                        <c:v>Deductions</c:v>
                      </c:pt>
                      <c:pt idx="1">
                        <c:v>Income Tax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Sheet1!$A$6:$D$13</c15:sqref>
                        </c15:fullRef>
                        <c15:levelRef>
                          <c15:sqref>Sheet1!$B$6:$B$13</c15:sqref>
                        </c15:levelRef>
                        <c15:formulaRef>
                          <c15:sqref>Sheet1!$B$6:$B$13</c15:sqref>
                        </c15:formulaRef>
                      </c:ext>
                    </c:extLst>
                    <c:strCache>
                      <c:ptCount val="8"/>
                      <c:pt idx="0">
                        <c:v>Employee Name</c:v>
                      </c:pt>
                      <c:pt idx="1">
                        <c:v>Dikshya Giri</c:v>
                      </c:pt>
                      <c:pt idx="2">
                        <c:v>Irrisha Kayastha</c:v>
                      </c:pt>
                      <c:pt idx="3">
                        <c:v>Rajan Bhujel</c:v>
                      </c:pt>
                      <c:pt idx="4">
                        <c:v>Kripa Gurung</c:v>
                      </c:pt>
                      <c:pt idx="5">
                        <c:v>Rajan Khadka</c:v>
                      </c:pt>
                      <c:pt idx="6">
                        <c:v>Rupesh Bhujel</c:v>
                      </c:pt>
                      <c:pt idx="7">
                        <c:v>Bimal Dhungel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Sheet1!$J$6:$J$13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1">
                        <c:v>5000</c:v>
                      </c:pt>
                      <c:pt idx="2">
                        <c:v>5000</c:v>
                      </c:pt>
                      <c:pt idx="3">
                        <c:v>4500</c:v>
                      </c:pt>
                      <c:pt idx="4">
                        <c:v>4000</c:v>
                      </c:pt>
                      <c:pt idx="5">
                        <c:v>4800</c:v>
                      </c:pt>
                      <c:pt idx="6">
                        <c:v>4200</c:v>
                      </c:pt>
                      <c:pt idx="7">
                        <c:v>3800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3D3-4477-A6AE-6732282AD827}"/>
                  </c:ext>
                </c:extLst>
              </c15:ser>
            </c15:filteredBarSeries>
          </c:ext>
        </c:extLst>
      </c:barChart>
      <c:catAx>
        <c:axId val="34836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65808"/>
        <c:crosses val="autoZero"/>
        <c:auto val="1"/>
        <c:lblAlgn val="ctr"/>
        <c:lblOffset val="100"/>
        <c:noMultiLvlLbl val="0"/>
      </c:catAx>
      <c:valAx>
        <c:axId val="3483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6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18" workbookViewId="0">
      <selection activeCell="D20" sqref="D20"/>
    </sheetView>
  </sheetViews>
  <sheetFormatPr defaultRowHeight="14.4" x14ac:dyDescent="0.3"/>
  <cols>
    <col min="1" max="1" width="6" customWidth="1"/>
    <col min="2" max="2" width="15" bestFit="1" customWidth="1"/>
    <col min="3" max="3" width="7.44140625" customWidth="1"/>
    <col min="4" max="4" width="10.88671875" bestFit="1" customWidth="1"/>
    <col min="5" max="5" width="8.109375" bestFit="1" customWidth="1"/>
    <col min="6" max="6" width="10.77734375" bestFit="1" customWidth="1"/>
    <col min="7" max="7" width="13.88671875" bestFit="1" customWidth="1"/>
    <col min="8" max="8" width="10.5546875" bestFit="1" customWidth="1"/>
    <col min="9" max="9" width="7.5546875" customWidth="1"/>
    <col min="10" max="10" width="10.77734375" bestFit="1" customWidth="1"/>
    <col min="11" max="11" width="11" bestFit="1" customWidth="1"/>
  </cols>
  <sheetData>
    <row r="1" spans="1:11" x14ac:dyDescent="0.3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4" t="s">
        <v>22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1"/>
      <c r="B4" s="1"/>
      <c r="C4" s="1"/>
      <c r="D4" s="1"/>
      <c r="E4" s="3" t="s">
        <v>10</v>
      </c>
      <c r="F4" s="3"/>
      <c r="G4" s="3"/>
      <c r="H4" s="3"/>
      <c r="I4" s="3" t="s">
        <v>16</v>
      </c>
      <c r="J4" s="3"/>
      <c r="K4" s="2" t="s">
        <v>18</v>
      </c>
    </row>
    <row r="5" spans="1:11" x14ac:dyDescent="0.3">
      <c r="A5" s="1"/>
      <c r="B5" s="1"/>
      <c r="C5" s="1"/>
      <c r="D5" s="1"/>
      <c r="E5" s="2" t="s">
        <v>11</v>
      </c>
      <c r="F5" s="2"/>
      <c r="G5" s="2"/>
      <c r="H5" s="2" t="s">
        <v>15</v>
      </c>
      <c r="I5" s="2" t="s">
        <v>17</v>
      </c>
      <c r="J5" s="2" t="s">
        <v>19</v>
      </c>
      <c r="K5" s="2"/>
    </row>
    <row r="6" spans="1:11" x14ac:dyDescent="0.3">
      <c r="A6" s="1" t="s">
        <v>21</v>
      </c>
      <c r="B6" s="1" t="s">
        <v>0</v>
      </c>
      <c r="C6" s="1" t="s">
        <v>9</v>
      </c>
      <c r="D6" s="1" t="s">
        <v>8</v>
      </c>
      <c r="E6" s="1" t="s">
        <v>12</v>
      </c>
      <c r="F6" s="1" t="s">
        <v>13</v>
      </c>
      <c r="G6" s="1" t="s">
        <v>14</v>
      </c>
      <c r="H6" s="2"/>
      <c r="I6" s="2"/>
      <c r="J6" s="2"/>
      <c r="K6" s="2"/>
    </row>
    <row r="7" spans="1:11" x14ac:dyDescent="0.3">
      <c r="A7" s="1">
        <v>1</v>
      </c>
      <c r="B7" s="1" t="s">
        <v>1</v>
      </c>
      <c r="C7" s="1">
        <v>1001</v>
      </c>
      <c r="D7" s="1">
        <v>50000</v>
      </c>
      <c r="E7" s="1">
        <v>10000</v>
      </c>
      <c r="F7" s="1">
        <v>14000</v>
      </c>
      <c r="G7" s="1">
        <v>8000</v>
      </c>
      <c r="H7" s="1">
        <f>SUM(D7:G7)</f>
        <v>82000</v>
      </c>
      <c r="I7" s="1">
        <f>20%*D7</f>
        <v>10000</v>
      </c>
      <c r="J7" s="1">
        <f>10%*D7</f>
        <v>5000</v>
      </c>
      <c r="K7" s="1">
        <f>H7-I7-J7</f>
        <v>67000</v>
      </c>
    </row>
    <row r="8" spans="1:11" x14ac:dyDescent="0.3">
      <c r="A8" s="1">
        <v>2</v>
      </c>
      <c r="B8" s="1" t="s">
        <v>2</v>
      </c>
      <c r="C8" s="1">
        <v>1002</v>
      </c>
      <c r="D8" s="1">
        <v>50000</v>
      </c>
      <c r="E8" s="1">
        <v>10000</v>
      </c>
      <c r="F8" s="1">
        <v>12000</v>
      </c>
      <c r="G8" s="1">
        <v>12000</v>
      </c>
      <c r="H8" s="1">
        <f t="shared" ref="H8:H13" si="0">SUM(D8:G8)</f>
        <v>84000</v>
      </c>
      <c r="I8" s="1">
        <f t="shared" ref="I8:I13" si="1">20%*D8</f>
        <v>10000</v>
      </c>
      <c r="J8" s="1">
        <f t="shared" ref="J8:J13" si="2">10%*D8</f>
        <v>5000</v>
      </c>
      <c r="K8" s="1">
        <f>H8-I8-J8</f>
        <v>69000</v>
      </c>
    </row>
    <row r="9" spans="1:11" x14ac:dyDescent="0.3">
      <c r="A9" s="1">
        <v>3</v>
      </c>
      <c r="B9" s="1" t="s">
        <v>3</v>
      </c>
      <c r="C9" s="1">
        <v>1003</v>
      </c>
      <c r="D9" s="1">
        <v>45000</v>
      </c>
      <c r="E9" s="1">
        <v>9000</v>
      </c>
      <c r="F9" s="1">
        <v>8000</v>
      </c>
      <c r="G9" s="1">
        <v>9000</v>
      </c>
      <c r="H9" s="1">
        <f t="shared" si="0"/>
        <v>71000</v>
      </c>
      <c r="I9" s="1">
        <f t="shared" si="1"/>
        <v>9000</v>
      </c>
      <c r="J9" s="1">
        <f t="shared" si="2"/>
        <v>4500</v>
      </c>
      <c r="K9" s="1">
        <f t="shared" ref="K9:K13" si="3">H9-I9-J9</f>
        <v>57500</v>
      </c>
    </row>
    <row r="10" spans="1:11" x14ac:dyDescent="0.3">
      <c r="A10" s="1">
        <v>4</v>
      </c>
      <c r="B10" s="1" t="s">
        <v>4</v>
      </c>
      <c r="C10" s="1">
        <v>1004</v>
      </c>
      <c r="D10" s="1">
        <v>40000</v>
      </c>
      <c r="E10" s="1">
        <v>8800</v>
      </c>
      <c r="F10" s="1">
        <v>6900</v>
      </c>
      <c r="G10" s="1">
        <v>4800</v>
      </c>
      <c r="H10" s="1">
        <f t="shared" si="0"/>
        <v>60500</v>
      </c>
      <c r="I10" s="1">
        <f t="shared" si="1"/>
        <v>8000</v>
      </c>
      <c r="J10" s="1">
        <f t="shared" si="2"/>
        <v>4000</v>
      </c>
      <c r="K10" s="1">
        <f t="shared" si="3"/>
        <v>48500</v>
      </c>
    </row>
    <row r="11" spans="1:11" x14ac:dyDescent="0.3">
      <c r="A11" s="1">
        <v>5</v>
      </c>
      <c r="B11" s="1" t="s">
        <v>5</v>
      </c>
      <c r="C11" s="1">
        <v>1005</v>
      </c>
      <c r="D11" s="1">
        <v>48000</v>
      </c>
      <c r="E11" s="1">
        <v>9000</v>
      </c>
      <c r="F11" s="1">
        <v>7800</v>
      </c>
      <c r="G11" s="1">
        <v>9000</v>
      </c>
      <c r="H11" s="1">
        <f t="shared" si="0"/>
        <v>73800</v>
      </c>
      <c r="I11" s="1">
        <f t="shared" si="1"/>
        <v>9600</v>
      </c>
      <c r="J11" s="1">
        <f t="shared" si="2"/>
        <v>4800</v>
      </c>
      <c r="K11" s="1">
        <f t="shared" si="3"/>
        <v>59400</v>
      </c>
    </row>
    <row r="12" spans="1:11" x14ac:dyDescent="0.3">
      <c r="A12" s="1">
        <v>6</v>
      </c>
      <c r="B12" s="1" t="s">
        <v>6</v>
      </c>
      <c r="C12" s="1">
        <v>1006</v>
      </c>
      <c r="D12" s="1">
        <v>42000</v>
      </c>
      <c r="E12" s="1">
        <v>8000</v>
      </c>
      <c r="F12" s="1">
        <v>8000</v>
      </c>
      <c r="G12" s="1">
        <v>12000</v>
      </c>
      <c r="H12" s="1">
        <f t="shared" si="0"/>
        <v>70000</v>
      </c>
      <c r="I12" s="1">
        <f t="shared" si="1"/>
        <v>8400</v>
      </c>
      <c r="J12" s="1">
        <f t="shared" si="2"/>
        <v>4200</v>
      </c>
      <c r="K12" s="1">
        <f t="shared" si="3"/>
        <v>57400</v>
      </c>
    </row>
    <row r="13" spans="1:11" x14ac:dyDescent="0.3">
      <c r="A13" s="1">
        <v>7</v>
      </c>
      <c r="B13" s="1" t="s">
        <v>7</v>
      </c>
      <c r="C13" s="1">
        <v>1007</v>
      </c>
      <c r="D13" s="1">
        <v>38000</v>
      </c>
      <c r="E13" s="1">
        <v>7500</v>
      </c>
      <c r="F13" s="1">
        <v>7000</v>
      </c>
      <c r="G13" s="1">
        <v>10000</v>
      </c>
      <c r="H13" s="1">
        <f t="shared" si="0"/>
        <v>62500</v>
      </c>
      <c r="I13" s="1">
        <f t="shared" si="1"/>
        <v>7600</v>
      </c>
      <c r="J13" s="1">
        <f t="shared" si="2"/>
        <v>3800</v>
      </c>
      <c r="K13" s="1">
        <f t="shared" si="3"/>
        <v>51100</v>
      </c>
    </row>
  </sheetData>
  <mergeCells count="9">
    <mergeCell ref="K4:K6"/>
    <mergeCell ref="A1:K2"/>
    <mergeCell ref="E4:H4"/>
    <mergeCell ref="E5:G5"/>
    <mergeCell ref="H5:H6"/>
    <mergeCell ref="I4:J4"/>
    <mergeCell ref="I5:I6"/>
    <mergeCell ref="J5:J6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2023-05-06T10:13:09Z</dcterms:created>
  <dcterms:modified xsi:type="dcterms:W3CDTF">2023-05-14T17:27:59Z</dcterms:modified>
</cp:coreProperties>
</file>